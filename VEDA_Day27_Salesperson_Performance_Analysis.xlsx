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84dd85e6328a98/ドキュメント/"/>
    </mc:Choice>
  </mc:AlternateContent>
  <xr:revisionPtr revIDLastSave="0" documentId="8_{0A1BE65D-8B7F-443B-91A9-9DA01461591A}" xr6:coauthVersionLast="47" xr6:coauthVersionMax="47" xr10:uidLastSave="{00000000-0000-0000-0000-000000000000}"/>
  <bookViews>
    <workbookView xWindow="-120" yWindow="-120" windowWidth="20730" windowHeight="11040" activeTab="2" xr2:uid="{24E15B65-C596-48F5-86AF-F7744F1779EC}"/>
  </bookViews>
  <sheets>
    <sheet name="Raw_Data" sheetId="1" r:id="rId1"/>
    <sheet name="Performance_Analysis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3" l="1"/>
  <c r="E5" i="3"/>
  <c r="C5" i="3"/>
  <c r="A5" i="3"/>
  <c r="G6" i="2"/>
  <c r="G7" i="2"/>
  <c r="G8" i="2"/>
  <c r="G5" i="2"/>
  <c r="F6" i="2"/>
  <c r="F7" i="2"/>
  <c r="F8" i="2"/>
  <c r="F5" i="2"/>
  <c r="E6" i="2"/>
  <c r="E7" i="2"/>
  <c r="E8" i="2"/>
  <c r="E5" i="2"/>
  <c r="D6" i="2"/>
  <c r="D7" i="2"/>
  <c r="D8" i="2"/>
  <c r="D5" i="2"/>
  <c r="C6" i="2"/>
  <c r="C7" i="2"/>
  <c r="C8" i="2"/>
  <c r="C5" i="2"/>
  <c r="B6" i="2"/>
  <c r="B7" i="2"/>
  <c r="B8" i="2"/>
  <c r="B5" i="2"/>
</calcChain>
</file>

<file path=xl/sharedStrings.xml><?xml version="1.0" encoding="utf-8"?>
<sst xmlns="http://schemas.openxmlformats.org/spreadsheetml/2006/main" count="194" uniqueCount="80">
  <si>
    <t>Order ID</t>
  </si>
  <si>
    <t>Order Date</t>
  </si>
  <si>
    <t>Salesperson</t>
  </si>
  <si>
    <t>Region</t>
  </si>
  <si>
    <t>Category</t>
  </si>
  <si>
    <t>Sales</t>
  </si>
  <si>
    <t>Profit</t>
  </si>
  <si>
    <t>Quantity</t>
  </si>
  <si>
    <t>ORD001</t>
  </si>
  <si>
    <t>Rahul</t>
  </si>
  <si>
    <t>North</t>
  </si>
  <si>
    <t>Technology</t>
  </si>
  <si>
    <t>ORD002</t>
  </si>
  <si>
    <t>Priya</t>
  </si>
  <si>
    <t>West</t>
  </si>
  <si>
    <t>Furniture</t>
  </si>
  <si>
    <t>ORD003</t>
  </si>
  <si>
    <t>Aman</t>
  </si>
  <si>
    <t>South</t>
  </si>
  <si>
    <t>Office Supplies</t>
  </si>
  <si>
    <t>ORD004</t>
  </si>
  <si>
    <t>Neha</t>
  </si>
  <si>
    <t>East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</si>
  <si>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</si>
  <si>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</si>
  <si>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</si>
  <si>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</si>
  <si>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</si>
  <si>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</si>
  <si>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</si>
  <si>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</si>
  <si>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</si>
  <si>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</si>
  <si>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</si>
  <si>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</si>
  <si>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</si>
  <si>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</si>
  <si>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</si>
  <si>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</si>
  <si>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</si>
  <si>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</si>
  <si>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</si>
  <si>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</si>
  <si>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</si>
  <si>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</si>
  <si>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</si>
  <si>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</si>
  <si>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</si>
  <si>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</si>
  <si>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</si>
  <si>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</si>
  <si>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</si>
  <si>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</si>
  <si>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</si>
  <si>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</si>
  <si>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</si>
  <si>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</si>
  <si>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</si>
  <si>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</si>
  <si>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SALESPERSON PERFORMANCE ANALYSIS</t>
  </si>
  <si>
    <t>Sales, Profit, Orders and Average Order Value Comparison</t>
  </si>
  <si>
    <t>Total Sales</t>
  </si>
  <si>
    <t>Total Profit</t>
  </si>
  <si>
    <t>Total Orders</t>
  </si>
  <si>
    <t>Total Quantity</t>
  </si>
  <si>
    <t>Average Order Value</t>
  </si>
  <si>
    <t>Performance Rank</t>
  </si>
  <si>
    <t>Column1</t>
  </si>
  <si>
    <t>SALESPERSON PERFORMANCE DASHBOARD</t>
  </si>
  <si>
    <t>Sales • Profit • Orders • Average Order Value</t>
  </si>
  <si>
    <t>TOTAL SALES</t>
  </si>
  <si>
    <t>TOTAL PROFIT</t>
  </si>
  <si>
    <t>TOTAL ORDERS</t>
  </si>
  <si>
    <t>AVERAGE ORDER VALUE</t>
  </si>
  <si>
    <t>KEY INSIGHTS &amp; RECOMMENDATIONS</t>
  </si>
  <si>
    <t>• Priya is the top-performing salesperson with the highest sales and profit contribution.</t>
  </si>
  <si>
    <t>• Neha is the second-highest performer and shows strong overall sales performance.</t>
  </si>
  <si>
    <t>• Rahul and Aman can be supported through targeted sales training and performance coaching.</t>
  </si>
  <si>
    <t>• Salesperson performance should be evaluated using both sales and profit, not revenue alone.</t>
  </si>
  <si>
    <t>• Focus on high-value and profitable orders to improve overall business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</si>
</sst>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₹-4009]\ #,##0.00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4"/>
      <color theme="2" tint="-0.499984740745262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rgb="FF0020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/>
    <xf numFmtId="0" fontId="7" fillId="3" borderId="1" xfId="0" applyFont="1" applyFill="1" applyBorder="1" applyAlignment="1">
      <alignment horizontal="center"/>
    </xf>
    <xf numFmtId="165" fontId="6" fillId="4" borderId="1" xfId="0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165" fontId="6" fillId="4" borderId="3" xfId="0" applyNumberFormat="1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65" fontId="6" fillId="4" borderId="2" xfId="0" applyNumberFormat="1" applyFont="1" applyFill="1" applyBorder="1" applyAlignment="1">
      <alignment horizontal="center"/>
    </xf>
    <xf numFmtId="0" fontId="6" fillId="4" borderId="2" xfId="0" applyNumberFormat="1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9" fillId="5" borderId="0" xfId="0" applyFont="1" applyFill="1"/>
  </cellXfs>
  <cellStyles count="1">
    <cellStyle name="Normal" xfId="0" builtinId="0"/>
  </cellStyles>
  <dxfs count="5"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Salesperson Sales Ranking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Performance_Analysis!$B$4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Performance_Analysis!$A$5:$A$8</c:f>
              <c:strCache>
                <c:ptCount val="4"/>
                <c:pt idx="0">
                  <c:v>Rahul</c:v>
                </c:pt>
                <c:pt idx="1">
                  <c:v>Priya</c:v>
                </c:pt>
                <c:pt idx="2">
                  <c:v>Aman</c:v>
                </c:pt>
                <c:pt idx="3">
                  <c:v>Neha</c:v>
                </c:pt>
              </c:strCache>
            </c:strRef>
          </c:cat>
          <c:val>
            <c:numRef>
              <c:f>Performance_Analysis!$B$5:$B$8</c:f>
              <c:numCache>
                <c:formatCode>[$₹-4009]\ #,##0.00</c:formatCode>
                <c:ptCount val="4"/>
                <c:pt idx="0">
                  <c:v>132500</c:v>
                </c:pt>
                <c:pt idx="1">
                  <c:v>152500</c:v>
                </c:pt>
                <c:pt idx="2">
                  <c:v>126000</c:v>
                </c:pt>
                <c:pt idx="3">
                  <c:v>133300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A-4B7D-9BD7-CE5867CDF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0735919"/>
        <c:axId val="872996159"/>
      </c:barChart>
      <c:catAx>
        <c:axId val="103073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996159"/>
        <c:crosses val="autoZero"/>
        <c:auto val="1"/>
        <c:lblAlgn val="ctr"/>
        <c:lblOffset val="100"/>
        <c:noMultiLvlLbl val="0"/>
      </c:catAx>
      <c:valAx>
        <c:axId val="872996159"/>
        <c:scaling>
          <c:orientation val="minMax"/>
        </c:scaling>
        <c:delete val="0"/>
        <c:axPos val="l"/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73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Salesperson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298988541066511"/>
          <c:y val="0.28906553347498232"/>
          <c:w val="0.76118764524061999"/>
          <c:h val="0.540223583163215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Performance_Analysis!$C$4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Performance_Analysis!$A$5:$A$8</c:f>
              <c:strCache>
                <c:ptCount val="4"/>
                <c:pt idx="0">
                  <c:v>Rahul</c:v>
                </c:pt>
                <c:pt idx="1">
                  <c:v>Priya</c:v>
                </c:pt>
                <c:pt idx="2">
                  <c:v>Aman</c:v>
                </c:pt>
                <c:pt idx="3">
                  <c:v>Neha</c:v>
                </c:pt>
              </c:strCache>
            </c:strRef>
          </c:cat>
          <c:val>
            <c:numRef>
              <c:f>Performance_Analysis!$C$5:$C$8</c:f>
              <c:numCache>
                <c:formatCode>General</c:formatCode>
                <c:ptCount val="4"/>
                <c:pt idx="0">
                  <c:v>23065</c:v>
                </c:pt>
                <c:pt idx="1">
                  <c:v>27020</c:v>
                </c:pt>
                <c:pt idx="2">
                  <c:v>22180</c:v>
                </c:pt>
                <c:pt idx="3">
                  <c:v>23545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4-4415-B2DB-E63D88AF271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76205791"/>
        <c:axId val="873010559"/>
      </c:barChart>
      <c:catAx>
        <c:axId val="976205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010559"/>
        <c:crosses val="autoZero"/>
        <c:auto val="1"/>
        <c:lblAlgn val="ctr"/>
        <c:lblOffset val="100"/>
        <c:noMultiLvlLbl val="0"/>
      </c:catAx>
      <c:valAx>
        <c:axId val="87301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205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Sales Contribution by Salesperson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Performance_Analysis!$B$4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627-40C7-A773-6B1B10B045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627-40C7-A773-6B1B10B045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627-40C7-A773-6B1B10B045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627-40C7-A773-6B1B10B0456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Performance_Analysis!$A$5:$A$8</c:f>
              <c:strCache>
                <c:ptCount val="4"/>
                <c:pt idx="0">
                  <c:v>Rahul</c:v>
                </c:pt>
                <c:pt idx="1">
                  <c:v>Priya</c:v>
                </c:pt>
                <c:pt idx="2">
                  <c:v>Aman</c:v>
                </c:pt>
                <c:pt idx="3">
                  <c:v>Neha</c:v>
                </c:pt>
              </c:strCache>
            </c:strRef>
          </c:cat>
          <c:val>
            <c:numRef>
              <c:f>Performance_Analysis!$B$5:$B$8</c:f>
              <c:numCache>
                <c:formatCode>[$₹-4009]\ #,##0.00</c:formatCode>
                <c:ptCount val="4"/>
                <c:pt idx="0">
                  <c:v>132500</c:v>
                </c:pt>
                <c:pt idx="1">
                  <c:v>152500</c:v>
                </c:pt>
                <c:pt idx="2">
                  <c:v>126000</c:v>
                </c:pt>
                <c:pt idx="3">
                  <c:v>133300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27-40C7-A773-6B1B10B0456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19050</xdr:rowOff>
    </xdr:from>
    <xdr:to>
      <xdr:col>3</xdr:col>
      <xdr:colOff>9525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D3E7AF-2F07-4735-9D24-EC4921FEE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361950</xdr:colOff>
      <xdr:row>6</xdr:row>
      <xdr:rowOff>0</xdr:rowOff>
    </xdr:from>
    <xdr:to>
      <xdr:col>5</xdr:col>
      <xdr:colOff>1028700</xdr:colOff>
      <xdr:row>15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19E658-5307-4CFF-876E-92C624AEB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123824</xdr:colOff>
      <xdr:row>5</xdr:row>
      <xdr:rowOff>180975</xdr:rowOff>
    </xdr:from>
    <xdr:to>
      <xdr:col>7</xdr:col>
      <xdr:colOff>2143124</xdr:colOff>
      <xdr:row>15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A2D02E-0D15-4DEF-809B-BD0D153A7D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1CB94F-5407-4350-B976-94FE753ED831}" name="Table1" displayName="Table1" ref="A1:H41" totalsRowShown="0">
  <autoFilter ref="A1:H41" xr:uid="{391CB94F-5407-4350-B976-94FE753ED831}"/>
  <tableColumns count="8">
    <tableColumn id="1" xr3:uid="{7C796BC9-5382-4010-BDDE-E4C90157470E}" name="Order ID"/>
    <tableColumn id="2" xr3:uid="{355B570A-9B89-45B7-AD14-C6017B052AD2}" name="Order Date" dataDxfId="4"/>
    <tableColumn id="3" xr3:uid="{4E19C1E3-D3D8-48B2-A7DB-B83951ABE8F0}" name="Salesperson"/>
    <tableColumn id="4" xr3:uid="{D3F48CCB-6279-48C9-8F2B-4A31F46928F0}" name="Region"/>
    <tableColumn id="5" xr3:uid="{A2385276-1888-4D27-B976-F17B97EDC0A2}" name="Category"/>
    <tableColumn id="6" xr3:uid="{BE3A34E8-301A-4D5B-BD3C-FE16B903151D}" name="Sales" dataDxfId="3"/>
    <tableColumn id="7" xr3:uid="{A8B9AD6C-515A-4BF8-BD50-AD92BF7FFD50}" name="Profit" dataDxfId="2"/>
    <tableColumn id="8" xr3:uid="{EBA0C49C-20FC-4121-9944-299A70BEBB1A}" name="Quantity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F6E05B-4649-4A95-B594-D911D0A5C929}" name="Table2" displayName="Table2" ref="A4:H8" totalsRowShown="0">
  <autoFilter ref="A4:H8" xr:uid="{1EF6E05B-4649-4A95-B594-D911D0A5C929}"/>
  <tableColumns count="8">
    <tableColumn id="1" xr3:uid="{7C22BB46-2987-43F2-B7FF-BA74AA43C2A5}" name="Salesperson"/>
    <tableColumn id="2" xr3:uid="{B51E9097-E3CB-4ED0-8DF6-93B03FBE7DA1}" name="Total Sales" dataDxfId="1">
      <calculatedColumnFormula>SUMIF(Raw_Data!$C$2:$C$41,A5,Raw_Data!$F$2:$F$41)</calculatedColumnFormula>
    </tableColumn>
    <tableColumn id="3" xr3:uid="{B4ED96F0-4350-41B7-A1C3-C60B0A608A0D}" name="Total Profit">
      <calculatedColumnFormula>SUMIF(Raw_Data!$C$2:$C$41,A5,Raw_Data!$G$2:$G$41)</calculatedColumnFormula>
    </tableColumn>
    <tableColumn id="4" xr3:uid="{311C1724-26F4-43DE-8BF3-D03322EE4828}" name="Total Orders">
      <calculatedColumnFormula>COUNTIF(Raw_Data!$C$2:$C$41,A5)</calculatedColumnFormula>
    </tableColumn>
    <tableColumn id="5" xr3:uid="{E7F671D0-601A-49F1-AF2B-E7168EE4D9DC}" name="Total Quantity">
      <calculatedColumnFormula>SUMIF(Raw_Data!$C$2:$C$41,A5,Raw_Data!$H$2:$H$41)</calculatedColumnFormula>
    </tableColumn>
    <tableColumn id="6" xr3:uid="{F78B0ED5-D44F-4EAB-9B2C-D8CA72341893}" name="Average Order Value" dataDxfId="0">
      <calculatedColumnFormula>B5/D5</calculatedColumnFormula>
    </tableColumn>
    <tableColumn id="7" xr3:uid="{F6871B3C-955B-4339-8C11-2BDA50EDE105}" name="Performance Rank">
      <calculatedColumnFormula>_xlfn.RANK.EQ(B5,$B$5:$B$8,0)</calculatedColumnFormula>
    </tableColumn>
    <tableColumn id="8" xr3:uid="{D3FDA2D4-0E3C-4AAA-87BF-9710A525816A}" name="Column1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4E52-9B13-47D9-BBA5-86C57A5FE3B6}">
  <dimension ref="A1:H41"/>
  <sheetViews>
    <sheetView workbookViewId="0">
      <selection activeCell="B2" sqref="B2"/>
    </sheetView>
  </sheetViews>
  <sheetFormatPr defaultRowHeight="15" x14ac:dyDescent="0.25"/>
  <cols>
    <col min="1" max="1" width="10.5703125" customWidth="1"/>
    <col min="2" max="2" width="12.85546875" customWidth="1"/>
    <col min="3" max="3" width="14" bestFit="1" customWidth="1"/>
    <col min="4" max="4" width="9.42578125" bestFit="1" customWidth="1"/>
    <col min="5" max="5" width="14.5703125" bestFit="1" customWidth="1"/>
    <col min="6" max="6" width="10.7109375" bestFit="1" customWidth="1"/>
    <col min="7" max="7" width="9.7109375" bestFit="1" customWidth="1"/>
    <col min="8" max="8" width="11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</row>
    <row r="2" spans="1:8" x14ac:dyDescent="0.25">
      <c r="A2" t="s">
        <v>8</v>
      </c>
      <c r="B2" s="1">
        <v>46023</v>
      </c>
      <c r="C2" t="s">
        <v>9</v>
      </c>
      <c r="D2" t="s">
        <v>10</v>
      </c>
      <c r="E2" t="s">
        <v>11</v>
      </c>
      <c r="F2" s="2">
        <v>12500</v>
      </c>
      <c r="G2" s="2">
        <v>2500</v>
      </c>
      <c r="H2">
        <v>5</v>
      </c>
    </row>
    <row r="3" spans="1:8" x14ac:dyDescent="0.25">
      <c r="A3" t="s">
        <v>12</v>
      </c>
      <c r="B3" s="1">
        <v>46025</v>
      </c>
      <c r="C3" t="s">
        <v>13</v>
      </c>
      <c r="D3" t="s">
        <v>14</v>
      </c>
      <c r="E3" t="s">
        <v>15</v>
      </c>
      <c r="F3" s="2">
        <v>9800</v>
      </c>
      <c r="G3" s="2">
        <v>1470</v>
      </c>
      <c r="H3">
        <v>4</v>
      </c>
    </row>
    <row r="4" spans="1:8" x14ac:dyDescent="0.25">
      <c r="A4" t="s">
        <v>16</v>
      </c>
      <c r="B4" s="1">
        <v>46027</v>
      </c>
      <c r="C4" t="s">
        <v>17</v>
      </c>
      <c r="D4" t="s">
        <v>18</v>
      </c>
      <c r="E4" t="s">
        <v>19</v>
      </c>
      <c r="F4" s="2">
        <v>7200</v>
      </c>
      <c r="G4" s="2">
        <v>1080</v>
      </c>
      <c r="H4">
        <v>6</v>
      </c>
    </row>
    <row r="5" spans="1:8" x14ac:dyDescent="0.25">
      <c r="A5" t="s">
        <v>20</v>
      </c>
      <c r="B5" s="1">
        <v>46030</v>
      </c>
      <c r="C5" t="s">
        <v>21</v>
      </c>
      <c r="D5" t="s">
        <v>22</v>
      </c>
      <c r="E5" t="s">
        <v>11</v>
      </c>
      <c r="F5" s="2">
        <v>15600</v>
      </c>
      <c r="G5" s="2">
        <v>3120</v>
      </c>
      <c r="H5">
        <v>7</v>
      </c>
    </row>
    <row r="6" spans="1:8" x14ac:dyDescent="0.25">
      <c r="A6" t="s">
        <v>23</v>
      </c>
      <c r="B6" s="1">
        <v>46034</v>
      </c>
      <c r="C6" t="s">
        <v>9</v>
      </c>
      <c r="D6" t="s">
        <v>10</v>
      </c>
      <c r="E6" t="s">
        <v>15</v>
      </c>
      <c r="F6" s="2">
        <v>11200</v>
      </c>
      <c r="G6" s="2">
        <v>1680</v>
      </c>
      <c r="H6">
        <v>5</v>
      </c>
    </row>
    <row r="7" spans="1:8" x14ac:dyDescent="0.25">
      <c r="A7" t="s">
        <v>24</v>
      </c>
      <c r="B7" s="1">
        <v>46037</v>
      </c>
      <c r="C7" t="s">
        <v>13</v>
      </c>
      <c r="D7" t="s">
        <v>14</v>
      </c>
      <c r="E7" t="s">
        <v>11</v>
      </c>
      <c r="F7" s="2">
        <v>18500</v>
      </c>
      <c r="G7" s="2">
        <v>3700</v>
      </c>
      <c r="H7">
        <v>8</v>
      </c>
    </row>
    <row r="8" spans="1:8" x14ac:dyDescent="0.25">
      <c r="A8" t="s">
        <v>25</v>
      </c>
      <c r="B8" s="1">
        <v>46040</v>
      </c>
      <c r="C8" t="s">
        <v>17</v>
      </c>
      <c r="D8" t="s">
        <v>18</v>
      </c>
      <c r="E8" t="s">
        <v>15</v>
      </c>
      <c r="F8" s="2">
        <v>8500</v>
      </c>
      <c r="G8" s="2">
        <v>1275</v>
      </c>
      <c r="H8">
        <v>4</v>
      </c>
    </row>
    <row r="9" spans="1:8" x14ac:dyDescent="0.25">
      <c r="A9" t="s">
        <v>26</v>
      </c>
      <c r="B9" s="1">
        <v>46043</v>
      </c>
      <c r="C9" t="s">
        <v>21</v>
      </c>
      <c r="D9" t="s">
        <v>22</v>
      </c>
      <c r="E9" t="s">
        <v>19</v>
      </c>
      <c r="F9" s="2">
        <v>6400</v>
      </c>
      <c r="G9" s="2">
        <v>960</v>
      </c>
      <c r="H9">
        <v>6</v>
      </c>
    </row>
    <row r="10" spans="1:8" x14ac:dyDescent="0.25">
      <c r="A10" t="s">
        <v>27</v>
      </c>
      <c r="B10" s="1">
        <v>46047</v>
      </c>
      <c r="C10" t="s">
        <v>9</v>
      </c>
      <c r="D10" t="s">
        <v>10</v>
      </c>
      <c r="E10" t="s">
        <v>11</v>
      </c>
      <c r="F10" s="2">
        <v>14300</v>
      </c>
      <c r="G10" s="2">
        <v>2860</v>
      </c>
      <c r="H10">
        <v>6</v>
      </c>
    </row>
    <row r="11" spans="1:8" x14ac:dyDescent="0.25">
      <c r="A11" t="s">
        <v>28</v>
      </c>
      <c r="B11" s="1">
        <v>46050</v>
      </c>
      <c r="C11" t="s">
        <v>13</v>
      </c>
      <c r="D11" t="s">
        <v>14</v>
      </c>
      <c r="E11" t="s">
        <v>15</v>
      </c>
      <c r="F11" s="2">
        <v>12100</v>
      </c>
      <c r="G11" s="2">
        <v>1815</v>
      </c>
      <c r="H11">
        <v>5</v>
      </c>
    </row>
    <row r="12" spans="1:8" x14ac:dyDescent="0.25">
      <c r="A12" t="s">
        <v>29</v>
      </c>
      <c r="B12" s="1">
        <v>46055</v>
      </c>
      <c r="C12" t="s">
        <v>17</v>
      </c>
      <c r="D12" t="s">
        <v>18</v>
      </c>
      <c r="E12" t="s">
        <v>11</v>
      </c>
      <c r="F12" s="2">
        <v>16800</v>
      </c>
      <c r="G12" s="2">
        <v>3360</v>
      </c>
      <c r="H12">
        <v>7</v>
      </c>
    </row>
    <row r="13" spans="1:8" x14ac:dyDescent="0.25">
      <c r="A13" t="s">
        <v>30</v>
      </c>
      <c r="B13" s="1">
        <v>46058</v>
      </c>
      <c r="C13" t="s">
        <v>21</v>
      </c>
      <c r="D13" t="s">
        <v>22</v>
      </c>
      <c r="E13" t="s">
        <v>15</v>
      </c>
      <c r="F13" s="2">
        <v>9300</v>
      </c>
      <c r="G13" s="2">
        <v>1395</v>
      </c>
      <c r="H13">
        <v>4</v>
      </c>
    </row>
    <row r="14" spans="1:8" x14ac:dyDescent="0.25">
      <c r="A14" t="s">
        <v>31</v>
      </c>
      <c r="B14" s="1">
        <v>46062</v>
      </c>
      <c r="C14" t="s">
        <v>9</v>
      </c>
      <c r="D14" t="s">
        <v>10</v>
      </c>
      <c r="E14" t="s">
        <v>19</v>
      </c>
      <c r="F14" s="2">
        <v>7800</v>
      </c>
      <c r="G14" s="2">
        <v>1170</v>
      </c>
      <c r="H14">
        <v>8</v>
      </c>
    </row>
    <row r="15" spans="1:8" x14ac:dyDescent="0.25">
      <c r="A15" t="s">
        <v>32</v>
      </c>
      <c r="B15" s="1">
        <v>46065</v>
      </c>
      <c r="C15" t="s">
        <v>13</v>
      </c>
      <c r="D15" t="s">
        <v>14</v>
      </c>
      <c r="E15" t="s">
        <v>11</v>
      </c>
      <c r="F15" s="2">
        <v>20100</v>
      </c>
      <c r="G15" s="2">
        <v>4020</v>
      </c>
      <c r="H15">
        <v>9</v>
      </c>
    </row>
    <row r="16" spans="1:8" x14ac:dyDescent="0.25">
      <c r="A16" t="s">
        <v>33</v>
      </c>
      <c r="B16" s="1">
        <v>46069</v>
      </c>
      <c r="C16" t="s">
        <v>17</v>
      </c>
      <c r="D16" t="s">
        <v>18</v>
      </c>
      <c r="E16" t="s">
        <v>15</v>
      </c>
      <c r="F16" s="2">
        <v>10500</v>
      </c>
      <c r="G16" s="2">
        <v>1575</v>
      </c>
      <c r="H16">
        <v>5</v>
      </c>
    </row>
    <row r="17" spans="1:8" x14ac:dyDescent="0.25">
      <c r="A17" t="s">
        <v>34</v>
      </c>
      <c r="B17" s="1">
        <v>46073</v>
      </c>
      <c r="C17" t="s">
        <v>21</v>
      </c>
      <c r="D17" t="s">
        <v>22</v>
      </c>
      <c r="E17" t="s">
        <v>11</v>
      </c>
      <c r="F17" s="2">
        <v>17200</v>
      </c>
      <c r="G17" s="2">
        <v>3440</v>
      </c>
      <c r="H17">
        <v>7</v>
      </c>
    </row>
    <row r="18" spans="1:8" x14ac:dyDescent="0.25">
      <c r="A18" t="s">
        <v>35</v>
      </c>
      <c r="B18" s="1">
        <v>46077</v>
      </c>
      <c r="C18" t="s">
        <v>9</v>
      </c>
      <c r="D18" t="s">
        <v>10</v>
      </c>
      <c r="E18" t="s">
        <v>15</v>
      </c>
      <c r="F18" s="2">
        <v>13400</v>
      </c>
      <c r="G18" s="2">
        <v>2010</v>
      </c>
      <c r="H18">
        <v>6</v>
      </c>
    </row>
    <row r="19" spans="1:8" x14ac:dyDescent="0.25">
      <c r="A19" t="s">
        <v>36</v>
      </c>
      <c r="B19" s="1">
        <v>46080</v>
      </c>
      <c r="C19" t="s">
        <v>13</v>
      </c>
      <c r="D19" t="s">
        <v>14</v>
      </c>
      <c r="E19" t="s">
        <v>19</v>
      </c>
      <c r="F19" s="2">
        <v>8200</v>
      </c>
      <c r="G19" s="2">
        <v>1230</v>
      </c>
      <c r="H19">
        <v>7</v>
      </c>
    </row>
    <row r="20" spans="1:8" x14ac:dyDescent="0.25">
      <c r="A20" t="s">
        <v>37</v>
      </c>
      <c r="B20" s="1">
        <v>46084</v>
      </c>
      <c r="C20" t="s">
        <v>17</v>
      </c>
      <c r="D20" t="s">
        <v>18</v>
      </c>
      <c r="E20" t="s">
        <v>11</v>
      </c>
      <c r="F20" s="2">
        <v>14900</v>
      </c>
      <c r="G20" s="2">
        <v>2980</v>
      </c>
      <c r="H20">
        <v>6</v>
      </c>
    </row>
    <row r="21" spans="1:8" x14ac:dyDescent="0.25">
      <c r="A21" t="s">
        <v>38</v>
      </c>
      <c r="B21" s="1">
        <v>46087</v>
      </c>
      <c r="C21" t="s">
        <v>21</v>
      </c>
      <c r="D21" t="s">
        <v>22</v>
      </c>
      <c r="E21" t="s">
        <v>15</v>
      </c>
      <c r="F21" s="2">
        <v>11600</v>
      </c>
      <c r="G21" s="2">
        <v>1740</v>
      </c>
      <c r="H21">
        <v>5</v>
      </c>
    </row>
    <row r="22" spans="1:8" x14ac:dyDescent="0.25">
      <c r="A22" t="s">
        <v>39</v>
      </c>
      <c r="B22" s="1">
        <v>46091</v>
      </c>
      <c r="C22" t="s">
        <v>9</v>
      </c>
      <c r="D22" t="s">
        <v>10</v>
      </c>
      <c r="E22" t="s">
        <v>11</v>
      </c>
      <c r="F22" s="2">
        <v>17800</v>
      </c>
      <c r="G22" s="2">
        <v>3560</v>
      </c>
      <c r="H22">
        <v>8</v>
      </c>
    </row>
    <row r="23" spans="1:8" x14ac:dyDescent="0.25">
      <c r="A23" t="s">
        <v>40</v>
      </c>
      <c r="B23" s="1">
        <v>46095</v>
      </c>
      <c r="C23" t="s">
        <v>13</v>
      </c>
      <c r="D23" t="s">
        <v>14</v>
      </c>
      <c r="E23" t="s">
        <v>15</v>
      </c>
      <c r="F23" s="2">
        <v>13900</v>
      </c>
      <c r="G23" s="2">
        <v>2085</v>
      </c>
      <c r="H23">
        <v>6</v>
      </c>
    </row>
    <row r="24" spans="1:8" x14ac:dyDescent="0.25">
      <c r="A24" t="s">
        <v>41</v>
      </c>
      <c r="B24" s="1">
        <v>46099</v>
      </c>
      <c r="C24" t="s">
        <v>17</v>
      </c>
      <c r="D24" t="s">
        <v>18</v>
      </c>
      <c r="E24" t="s">
        <v>19</v>
      </c>
      <c r="F24" s="2">
        <v>9100</v>
      </c>
      <c r="G24" s="2">
        <v>1365</v>
      </c>
      <c r="H24">
        <v>8</v>
      </c>
    </row>
    <row r="25" spans="1:8" x14ac:dyDescent="0.25">
      <c r="A25" t="s">
        <v>42</v>
      </c>
      <c r="B25" s="1">
        <v>46103</v>
      </c>
      <c r="C25" t="s">
        <v>21</v>
      </c>
      <c r="D25" t="s">
        <v>22</v>
      </c>
      <c r="E25" t="s">
        <v>11</v>
      </c>
      <c r="F25" s="2">
        <v>19500</v>
      </c>
      <c r="G25" s="2">
        <v>3900</v>
      </c>
      <c r="H25">
        <v>9</v>
      </c>
    </row>
    <row r="26" spans="1:8" x14ac:dyDescent="0.25">
      <c r="A26" t="s">
        <v>43</v>
      </c>
      <c r="B26" s="1">
        <v>46107</v>
      </c>
      <c r="C26" t="s">
        <v>9</v>
      </c>
      <c r="D26" t="s">
        <v>10</v>
      </c>
      <c r="E26" t="s">
        <v>15</v>
      </c>
      <c r="F26" s="2">
        <v>12700</v>
      </c>
      <c r="G26" s="2">
        <v>1905</v>
      </c>
      <c r="H26">
        <v>5</v>
      </c>
    </row>
    <row r="27" spans="1:8" x14ac:dyDescent="0.25">
      <c r="A27" t="s">
        <v>44</v>
      </c>
      <c r="B27" s="1">
        <v>46110</v>
      </c>
      <c r="C27" t="s">
        <v>13</v>
      </c>
      <c r="D27" t="s">
        <v>14</v>
      </c>
      <c r="E27" t="s">
        <v>11</v>
      </c>
      <c r="F27" s="2">
        <v>21800</v>
      </c>
      <c r="G27" s="2">
        <v>4360</v>
      </c>
      <c r="H27">
        <v>10</v>
      </c>
    </row>
    <row r="28" spans="1:8" x14ac:dyDescent="0.25">
      <c r="A28" t="s">
        <v>45</v>
      </c>
      <c r="B28" s="1">
        <v>46114</v>
      </c>
      <c r="C28" t="s">
        <v>17</v>
      </c>
      <c r="D28" t="s">
        <v>18</v>
      </c>
      <c r="E28" t="s">
        <v>15</v>
      </c>
      <c r="F28" s="2">
        <v>11900</v>
      </c>
      <c r="G28" s="2">
        <v>1785</v>
      </c>
      <c r="H28">
        <v>6</v>
      </c>
    </row>
    <row r="29" spans="1:8" x14ac:dyDescent="0.25">
      <c r="A29" t="s">
        <v>46</v>
      </c>
      <c r="B29" s="1">
        <v>46118</v>
      </c>
      <c r="C29" t="s">
        <v>21</v>
      </c>
      <c r="D29" t="s">
        <v>22</v>
      </c>
      <c r="E29" t="s">
        <v>19</v>
      </c>
      <c r="F29" s="2">
        <v>8700</v>
      </c>
      <c r="G29" s="2">
        <v>1305</v>
      </c>
      <c r="H29">
        <v>7</v>
      </c>
    </row>
    <row r="30" spans="1:8" x14ac:dyDescent="0.25">
      <c r="A30" t="s">
        <v>47</v>
      </c>
      <c r="B30" s="1">
        <v>46122</v>
      </c>
      <c r="C30" t="s">
        <v>9</v>
      </c>
      <c r="D30" t="s">
        <v>10</v>
      </c>
      <c r="E30" t="s">
        <v>11</v>
      </c>
      <c r="F30" s="2">
        <v>19200</v>
      </c>
      <c r="G30" s="2">
        <v>3840</v>
      </c>
      <c r="H30">
        <v>8</v>
      </c>
    </row>
    <row r="31" spans="1:8" x14ac:dyDescent="0.25">
      <c r="A31" t="s">
        <v>48</v>
      </c>
      <c r="B31" s="1">
        <v>46126</v>
      </c>
      <c r="C31" t="s">
        <v>13</v>
      </c>
      <c r="D31" t="s">
        <v>14</v>
      </c>
      <c r="E31" t="s">
        <v>15</v>
      </c>
      <c r="F31" s="2">
        <v>15400</v>
      </c>
      <c r="G31" s="2">
        <v>2310</v>
      </c>
      <c r="H31">
        <v>7</v>
      </c>
    </row>
    <row r="32" spans="1:8" x14ac:dyDescent="0.25">
      <c r="A32" t="s">
        <v>49</v>
      </c>
      <c r="B32" s="1">
        <v>46130</v>
      </c>
      <c r="C32" t="s">
        <v>17</v>
      </c>
      <c r="D32" t="s">
        <v>18</v>
      </c>
      <c r="E32" t="s">
        <v>11</v>
      </c>
      <c r="F32" s="2">
        <v>16300</v>
      </c>
      <c r="G32" s="2">
        <v>3260</v>
      </c>
      <c r="H32">
        <v>7</v>
      </c>
    </row>
    <row r="33" spans="1:8" x14ac:dyDescent="0.25">
      <c r="A33" t="s">
        <v>50</v>
      </c>
      <c r="B33" s="1">
        <v>46134</v>
      </c>
      <c r="C33" t="s">
        <v>21</v>
      </c>
      <c r="D33" t="s">
        <v>22</v>
      </c>
      <c r="E33" t="s">
        <v>15</v>
      </c>
      <c r="F33" s="2">
        <v>12800</v>
      </c>
      <c r="G33" s="2">
        <v>1920</v>
      </c>
      <c r="H33">
        <v>6</v>
      </c>
    </row>
    <row r="34" spans="1:8" x14ac:dyDescent="0.25">
      <c r="A34" t="s">
        <v>51</v>
      </c>
      <c r="B34" s="1">
        <v>46138</v>
      </c>
      <c r="C34" t="s">
        <v>9</v>
      </c>
      <c r="D34" t="s">
        <v>10</v>
      </c>
      <c r="E34" t="s">
        <v>19</v>
      </c>
      <c r="F34" s="2">
        <v>9500</v>
      </c>
      <c r="G34" s="2">
        <v>1425</v>
      </c>
      <c r="H34">
        <v>9</v>
      </c>
    </row>
    <row r="35" spans="1:8" x14ac:dyDescent="0.25">
      <c r="A35" t="s">
        <v>52</v>
      </c>
      <c r="B35" s="1">
        <v>46142</v>
      </c>
      <c r="C35" t="s">
        <v>13</v>
      </c>
      <c r="D35" t="s">
        <v>14</v>
      </c>
      <c r="E35" t="s">
        <v>11</v>
      </c>
      <c r="F35" s="2">
        <v>22500</v>
      </c>
      <c r="G35" s="2">
        <v>4500</v>
      </c>
      <c r="H35">
        <v>10</v>
      </c>
    </row>
    <row r="36" spans="1:8" x14ac:dyDescent="0.25">
      <c r="A36" t="s">
        <v>53</v>
      </c>
      <c r="B36" s="1">
        <v>46146</v>
      </c>
      <c r="C36" t="s">
        <v>17</v>
      </c>
      <c r="D36" t="s">
        <v>18</v>
      </c>
      <c r="E36" t="s">
        <v>15</v>
      </c>
      <c r="F36" s="2">
        <v>13200</v>
      </c>
      <c r="G36" s="2">
        <v>1980</v>
      </c>
      <c r="H36">
        <v>6</v>
      </c>
    </row>
    <row r="37" spans="1:8" x14ac:dyDescent="0.25">
      <c r="A37" t="s">
        <v>54</v>
      </c>
      <c r="B37" s="1">
        <v>46150</v>
      </c>
      <c r="C37" t="s">
        <v>21</v>
      </c>
      <c r="D37" t="s">
        <v>22</v>
      </c>
      <c r="E37" t="s">
        <v>11</v>
      </c>
      <c r="F37" s="2">
        <v>18700</v>
      </c>
      <c r="G37" s="2">
        <v>3740</v>
      </c>
      <c r="H37">
        <v>8</v>
      </c>
    </row>
    <row r="38" spans="1:8" x14ac:dyDescent="0.25">
      <c r="A38" t="s">
        <v>55</v>
      </c>
      <c r="B38" s="1">
        <v>46154</v>
      </c>
      <c r="C38" t="s">
        <v>9</v>
      </c>
      <c r="D38" t="s">
        <v>10</v>
      </c>
      <c r="E38" t="s">
        <v>15</v>
      </c>
      <c r="F38" s="2">
        <v>14100</v>
      </c>
      <c r="G38" s="2">
        <v>2115</v>
      </c>
      <c r="H38">
        <v>6</v>
      </c>
    </row>
    <row r="39" spans="1:8" x14ac:dyDescent="0.25">
      <c r="A39" t="s">
        <v>56</v>
      </c>
      <c r="B39" s="1">
        <v>46158</v>
      </c>
      <c r="C39" t="s">
        <v>13</v>
      </c>
      <c r="D39" t="s">
        <v>14</v>
      </c>
      <c r="E39" t="s">
        <v>19</v>
      </c>
      <c r="F39" s="2">
        <v>10200</v>
      </c>
      <c r="G39" s="2">
        <v>1530</v>
      </c>
      <c r="H39">
        <v>9</v>
      </c>
    </row>
    <row r="40" spans="1:8" x14ac:dyDescent="0.25">
      <c r="A40" t="s">
        <v>57</v>
      </c>
      <c r="B40" s="1">
        <v>46162</v>
      </c>
      <c r="C40" t="s">
        <v>17</v>
      </c>
      <c r="D40" t="s">
        <v>18</v>
      </c>
      <c r="E40" t="s">
        <v>11</v>
      </c>
      <c r="F40" s="2">
        <v>17600</v>
      </c>
      <c r="G40" s="2">
        <v>3520</v>
      </c>
      <c r="H40">
        <v>8</v>
      </c>
    </row>
    <row r="41" spans="1:8" x14ac:dyDescent="0.25">
      <c r="A41" t="s">
        <v>58</v>
      </c>
      <c r="B41" s="1">
        <v>46166</v>
      </c>
      <c r="C41" t="s">
        <v>21</v>
      </c>
      <c r="D41" t="s">
        <v>22</v>
      </c>
      <c r="E41" t="s">
        <v>15</v>
      </c>
      <c r="F41" s="2">
        <v>13500</v>
      </c>
      <c r="G41" s="2">
        <v>2025</v>
      </c>
      <c r="H41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4188-03E2-49C7-9763-11A853CE4620}">
  <dimension ref="A1:H8"/>
  <sheetViews>
    <sheetView workbookViewId="0">
      <selection activeCell="B4" activeCellId="1" sqref="A4:A8 B4:B8"/>
    </sheetView>
  </sheetViews>
  <sheetFormatPr defaultRowHeight="15" x14ac:dyDescent="0.25"/>
  <cols>
    <col min="1" max="1" width="13.85546875" customWidth="1"/>
    <col min="2" max="2" width="12.5703125" customWidth="1"/>
    <col min="3" max="3" width="13" customWidth="1"/>
    <col min="4" max="4" width="14" customWidth="1"/>
    <col min="5" max="5" width="15.7109375" customWidth="1"/>
    <col min="6" max="6" width="21.5703125" customWidth="1"/>
    <col min="7" max="7" width="19.28515625" customWidth="1"/>
    <col min="8" max="8" width="11" customWidth="1"/>
  </cols>
  <sheetData>
    <row r="1" spans="1:8" ht="18.75" x14ac:dyDescent="0.3">
      <c r="A1" s="4" t="s">
        <v>59</v>
      </c>
      <c r="B1" s="4"/>
      <c r="C1" s="4"/>
      <c r="D1" s="4"/>
      <c r="E1" s="4"/>
      <c r="F1" s="4"/>
      <c r="G1" s="4"/>
      <c r="H1" s="4"/>
    </row>
    <row r="2" spans="1:8" ht="18.75" x14ac:dyDescent="0.3">
      <c r="A2" s="4" t="s">
        <v>60</v>
      </c>
      <c r="B2" s="4"/>
      <c r="C2" s="4"/>
      <c r="D2" s="4"/>
      <c r="E2" s="4"/>
      <c r="F2" s="4"/>
      <c r="G2" s="4"/>
      <c r="H2" s="4"/>
    </row>
    <row r="4" spans="1:8" x14ac:dyDescent="0.25">
      <c r="A4" t="s">
        <v>2</v>
      </c>
      <c r="B4" s="2" t="s">
        <v>61</v>
      </c>
      <c r="C4" t="s">
        <v>62</v>
      </c>
      <c r="D4" t="s">
        <v>63</v>
      </c>
      <c r="E4" t="s">
        <v>64</v>
      </c>
      <c r="F4" s="2" t="s">
        <v>65</v>
      </c>
      <c r="G4" t="s">
        <v>66</v>
      </c>
      <c r="H4" t="s">
        <v>67</v>
      </c>
    </row>
    <row r="5" spans="1:8" x14ac:dyDescent="0.25">
      <c r="A5" t="s">
        <v>9</v>
      </c>
      <c r="B5" s="2">
        <f>SUMIF(Raw_Data!$C$2:$C$41,A5,Raw_Data!$F$2:$F$41)</f>
        <v>132500</v>
      </c>
      <c r="C5">
        <f>SUMIF(Raw_Data!$C$2:$C$41,A5,Raw_Data!$G$2:$G$41)</f>
        <v>23065</v>
      </c>
      <c r="D5">
        <f>COUNTIF(Raw_Data!$C$2:$C$41,A5)</f>
        <v>10</v>
      </c>
      <c r="E5">
        <f>SUMIF(Raw_Data!$C$2:$C$41,A5,Raw_Data!$H$2:$H$41)</f>
        <v>66</v>
      </c>
      <c r="F5" s="2">
        <f>B5/D5</f>
        <v>13250</v>
      </c>
      <c r="G5">
        <f>_xlfn.RANK.EQ(B5,$B$5:$B$8,0)</f>
        <v>3</v>
      </c>
    </row>
    <row r="6" spans="1:8" x14ac:dyDescent="0.25">
      <c r="A6" t="s">
        <v>13</v>
      </c>
      <c r="B6" s="2">
        <f>SUMIF(Raw_Data!$C$2:$C$41,A6,Raw_Data!$F$2:$F$41)</f>
        <v>152500</v>
      </c>
      <c r="C6">
        <f>SUMIF(Raw_Data!$C$2:$C$41,A6,Raw_Data!$G$2:$G$41)</f>
        <v>27020</v>
      </c>
      <c r="D6">
        <f>COUNTIF(Raw_Data!$C$2:$C$41,A6)</f>
        <v>10</v>
      </c>
      <c r="E6">
        <f>SUMIF(Raw_Data!$C$2:$C$41,A6,Raw_Data!$H$2:$H$41)</f>
        <v>75</v>
      </c>
      <c r="F6" s="2">
        <f t="shared" ref="F6:F8" si="0">B6/D6</f>
        <v>15250</v>
      </c>
      <c r="G6">
        <f t="shared" ref="G6:G8" si="1">_xlfn.RANK.EQ(B6,$B$5:$B$8,0)</f>
        <v>1</v>
      </c>
    </row>
    <row r="7" spans="1:8" x14ac:dyDescent="0.25">
      <c r="A7" t="s">
        <v>17</v>
      </c>
      <c r="B7" s="2">
        <f>SUMIF(Raw_Data!$C$2:$C$41,A7,Raw_Data!$F$2:$F$41)</f>
        <v>126000</v>
      </c>
      <c r="C7">
        <f>SUMIF(Raw_Data!$C$2:$C$41,A7,Raw_Data!$G$2:$G$41)</f>
        <v>22180</v>
      </c>
      <c r="D7">
        <f>COUNTIF(Raw_Data!$C$2:$C$41,A7)</f>
        <v>10</v>
      </c>
      <c r="E7">
        <f>SUMIF(Raw_Data!$C$2:$C$41,A7,Raw_Data!$H$2:$H$41)</f>
        <v>63</v>
      </c>
      <c r="F7" s="2">
        <f t="shared" si="0"/>
        <v>12600</v>
      </c>
      <c r="G7">
        <f t="shared" si="1"/>
        <v>4</v>
      </c>
    </row>
    <row r="8" spans="1:8" x14ac:dyDescent="0.25">
      <c r="A8" t="s">
        <v>21</v>
      </c>
      <c r="B8" s="2">
        <f>SUMIF(Raw_Data!$C$2:$C$41,A8,Raw_Data!$F$2:$F$41)</f>
        <v>133300</v>
      </c>
      <c r="C8">
        <f>SUMIF(Raw_Data!$C$2:$C$41,A8,Raw_Data!$G$2:$G$41)</f>
        <v>23545</v>
      </c>
      <c r="D8">
        <f>COUNTIF(Raw_Data!$C$2:$C$41,A8)</f>
        <v>10</v>
      </c>
      <c r="E8">
        <f>SUMIF(Raw_Data!$C$2:$C$41,A8,Raw_Data!$H$2:$H$41)</f>
        <v>65</v>
      </c>
      <c r="F8" s="2">
        <f t="shared" si="0"/>
        <v>13330</v>
      </c>
      <c r="G8">
        <f t="shared" si="1"/>
        <v>2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CE0F3-3E86-4CB2-93B4-6D46FC37826C}">
  <dimension ref="A1:H23"/>
  <sheetViews>
    <sheetView showGridLines="0" tabSelected="1" zoomScale="70" zoomScaleNormal="70" workbookViewId="0">
      <selection activeCell="I19" sqref="I19"/>
    </sheetView>
  </sheetViews>
  <sheetFormatPr defaultRowHeight="15" x14ac:dyDescent="0.25"/>
  <cols>
    <col min="1" max="1" width="17.42578125" customWidth="1"/>
    <col min="2" max="2" width="14.5703125" customWidth="1"/>
    <col min="3" max="3" width="15.7109375" customWidth="1"/>
    <col min="4" max="4" width="14.42578125" customWidth="1"/>
    <col min="5" max="5" width="22.42578125" customWidth="1"/>
    <col min="6" max="6" width="18.85546875" customWidth="1"/>
    <col min="7" max="7" width="11" customWidth="1"/>
    <col min="8" max="8" width="32.140625" customWidth="1"/>
  </cols>
  <sheetData>
    <row r="1" spans="1:8" ht="31.5" x14ac:dyDescent="0.5">
      <c r="A1" s="5" t="s">
        <v>68</v>
      </c>
      <c r="B1" s="6"/>
      <c r="C1" s="6"/>
      <c r="D1" s="6"/>
      <c r="E1" s="6"/>
      <c r="F1" s="6"/>
      <c r="G1" s="6"/>
      <c r="H1" s="6"/>
    </row>
    <row r="2" spans="1:8" ht="18.75" x14ac:dyDescent="0.3">
      <c r="A2" s="7" t="s">
        <v>69</v>
      </c>
      <c r="B2" s="3"/>
      <c r="C2" s="3"/>
      <c r="D2" s="3"/>
      <c r="E2" s="3"/>
      <c r="F2" s="3"/>
      <c r="G2" s="3"/>
      <c r="H2" s="3"/>
    </row>
    <row r="4" spans="1:8" ht="26.25" x14ac:dyDescent="0.4">
      <c r="A4" s="9" t="s">
        <v>70</v>
      </c>
      <c r="B4" s="11"/>
      <c r="C4" s="13" t="s">
        <v>71</v>
      </c>
      <c r="D4" s="14"/>
      <c r="E4" s="13" t="s">
        <v>72</v>
      </c>
      <c r="F4" s="14"/>
      <c r="G4" s="13" t="s">
        <v>73</v>
      </c>
      <c r="H4" s="14"/>
    </row>
    <row r="5" spans="1:8" ht="23.25" customHeight="1" x14ac:dyDescent="0.35">
      <c r="A5" s="10">
        <f>SUM(Raw_Data!$F$2:$F$41)</f>
        <v>544300</v>
      </c>
      <c r="B5" s="12"/>
      <c r="C5" s="15">
        <f>SUM(Raw_Data!$G$2:$G$41)</f>
        <v>95810</v>
      </c>
      <c r="D5" s="15"/>
      <c r="E5" s="16">
        <f>COUNTA(Raw_Data!$A$2:$A$41)</f>
        <v>40</v>
      </c>
      <c r="F5" s="16"/>
      <c r="G5" s="15">
        <f>AVERAGE(Raw_Data!$F$2:$F$41)</f>
        <v>13607.5</v>
      </c>
      <c r="H5" s="15"/>
    </row>
    <row r="6" spans="1:8" x14ac:dyDescent="0.25">
      <c r="A6" s="3"/>
      <c r="B6" s="3"/>
      <c r="C6" s="8"/>
      <c r="D6" s="8"/>
    </row>
    <row r="18" spans="3:8" ht="18.75" x14ac:dyDescent="0.3">
      <c r="D18" s="17" t="s">
        <v>74</v>
      </c>
      <c r="E18" s="17"/>
      <c r="F18" s="17"/>
    </row>
    <row r="19" spans="3:8" x14ac:dyDescent="0.25">
      <c r="C19" s="18" t="s">
        <v>75</v>
      </c>
      <c r="D19" s="18"/>
      <c r="E19" s="18"/>
      <c r="F19" s="18"/>
      <c r="G19" s="18"/>
      <c r="H19" s="18"/>
    </row>
    <row r="20" spans="3:8" x14ac:dyDescent="0.25">
      <c r="C20" s="18" t="s">
        <v>76</v>
      </c>
      <c r="D20" s="18"/>
      <c r="E20" s="18"/>
      <c r="F20" s="18"/>
      <c r="G20" s="18"/>
      <c r="H20" s="18"/>
    </row>
    <row r="21" spans="3:8" x14ac:dyDescent="0.25">
      <c r="C21" s="18" t="s">
        <v>77</v>
      </c>
      <c r="D21" s="18"/>
      <c r="E21" s="18"/>
      <c r="F21" s="18"/>
      <c r="G21" s="18"/>
      <c r="H21" s="18"/>
    </row>
    <row r="22" spans="3:8" x14ac:dyDescent="0.25">
      <c r="C22" s="18" t="s">
        <v>78</v>
      </c>
      <c r="D22" s="18"/>
      <c r="E22" s="18"/>
      <c r="F22" s="18"/>
      <c r="G22" s="18"/>
      <c r="H22" s="18"/>
    </row>
    <row r="23" spans="3:8" x14ac:dyDescent="0.25">
      <c r="C23" s="18" t="s">
        <v>79</v>
      </c>
      <c r="D23" s="18"/>
      <c r="E23" s="18"/>
      <c r="F23" s="18"/>
      <c r="G23" s="18"/>
      <c r="H23" s="18"/>
    </row>
  </sheetData>
  <mergeCells count="12">
    <mergeCell ref="E5:F5"/>
    <mergeCell ref="G4:H4"/>
    <mergeCell ref="G5:H5"/>
    <mergeCell ref="D18:F18"/>
    <mergeCell ref="A1:H1"/>
    <mergeCell ref="A2:H2"/>
    <mergeCell ref="A4:B4"/>
    <mergeCell ref="A5:B5"/>
    <mergeCell ref="A6:B6"/>
    <mergeCell ref="C4:D4"/>
    <mergeCell ref="C5:D5"/>
    <mergeCell ref="E4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Performance_Analysis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 .</dc:creator>
  <cp:lastModifiedBy>Bhagya .</cp:lastModifiedBy>
  <dcterms:created xsi:type="dcterms:W3CDTF">2026-10-04T07:38:46Z</dcterms:created>
  <dcterms:modified xsi:type="dcterms:W3CDTF">2026-10-04T08:35:36Z</dcterms:modified>
</cp:coreProperties>
</file>